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625" codeName="{EAAD5824-E589-9196-6FC8-2F1B5121158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unal\Desktop\assignment 3\"/>
    </mc:Choice>
  </mc:AlternateContent>
  <bookViews>
    <workbookView xWindow="0" yWindow="0" windowWidth="20490" windowHeight="7530" xr2:uid="{C0A7D16B-2E22-4F24-96B0-0EFBBBD1617D}"/>
  </bookViews>
  <sheets>
    <sheet name="Ques1 Coffee" sheetId="1" r:id="rId1"/>
    <sheet name="Ques 2 SalesOrders" sheetId="5" r:id="rId2"/>
    <sheet name="Ques 2 CustomerOrders" sheetId="3" r:id="rId3"/>
    <sheet name="Ques 3 Model" sheetId="8" r:id="rId4"/>
    <sheet name="Ques 3 Sensitivity" sheetId="7" r:id="rId5"/>
    <sheet name="Temp" sheetId="4" state="hidden" r:id="rId6"/>
  </sheets>
  <functionGroups builtInGroupCount="19"/>
  <externalReferences>
    <externalReference r:id="rId7"/>
  </externalReferences>
  <definedNames>
    <definedName name="Const" localSheetId="3">'Ques 3 Model'!$B$10</definedName>
    <definedName name="Const">#REF!</definedName>
    <definedName name="Cups">'Ques1 Coffee'!$B$3:$B$4</definedName>
    <definedName name="CustList">Temp!$A$2:$B$28</definedName>
    <definedName name="Demand" localSheetId="3">'Ques 3 Model'!$B$14</definedName>
    <definedName name="Demand">#REF!</definedName>
    <definedName name="Elast" localSheetId="3">'Ques 3 Model'!$C$10</definedName>
    <definedName name="Elast">#REF!</definedName>
    <definedName name="ExRate" localSheetId="3">'Ques 3 Model'!$B$4</definedName>
    <definedName name="ExRate">#REF!</definedName>
    <definedName name="Price" localSheetId="3">'Ques 3 Model'!$B$13</definedName>
    <definedName name="Price">#REF!</definedName>
    <definedName name="Profit" localSheetId="3">'Ques 3 Model'!$B$15</definedName>
    <definedName name="Profit">#REF!</definedName>
    <definedName name="solver_adj" localSheetId="3" hidden="1">'Ques 3 Model'!$B$13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bd" localSheetId="3" hidden="1">2</definedName>
    <definedName name="solver_itr" localSheetId="3" hidden="1">100</definedName>
    <definedName name="solver_lhs1" localSheetId="3" hidden="1">'Ques 3 Model'!$B$13</definedName>
    <definedName name="solver_lin" localSheetId="3" hidden="1">2</definedName>
    <definedName name="solver_lva" localSheetId="3" hidden="1">2</definedName>
    <definedName name="solver_mip" localSheetId="3" hidden="1">5000</definedName>
    <definedName name="solver_mni" localSheetId="3" hidden="1">30</definedName>
    <definedName name="solver_mrt" localSheetId="3" hidden="1">0.075</definedName>
    <definedName name="solver_neg" localSheetId="3" hidden="1">2</definedName>
    <definedName name="solver_nod" localSheetId="3" hidden="1">5000</definedName>
    <definedName name="solver_num" localSheetId="3" hidden="1">1</definedName>
    <definedName name="solver_nwt" localSheetId="3" hidden="1">1</definedName>
    <definedName name="solver_ofx" localSheetId="3" hidden="1">2</definedName>
    <definedName name="solver_opt" localSheetId="3" hidden="1">'Ques 3 Model'!$B$15</definedName>
    <definedName name="solver_piv" localSheetId="3" hidden="1">0.000001</definedName>
    <definedName name="solver_pre" localSheetId="3" hidden="1">0.000001</definedName>
    <definedName name="solver_pro" localSheetId="3" hidden="1">2</definedName>
    <definedName name="solver_rbv" localSheetId="3" hidden="1">1</definedName>
    <definedName name="solver_red" localSheetId="3" hidden="1">0.000001</definedName>
    <definedName name="solver_rel1" localSheetId="3" hidden="1">3</definedName>
    <definedName name="solver_reo" localSheetId="3" hidden="1">2</definedName>
    <definedName name="solver_rep" localSheetId="3" hidden="1">2</definedName>
    <definedName name="solver_rhs1" localSheetId="3" hidden="1">'Ques 3 Model'!$B$6</definedName>
    <definedName name="solver_rlx" localSheetId="3" hidden="1">2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std" localSheetId="3" hidden="1">1</definedName>
    <definedName name="solver_tim" localSheetId="3" hidden="1">100</definedName>
    <definedName name="solver_tol" localSheetId="3" hidden="1">0.0005</definedName>
    <definedName name="solver_typ" localSheetId="3" hidden="1">1</definedName>
    <definedName name="solver_val" localSheetId="3" hidden="1">0</definedName>
    <definedName name="solver_ver" localSheetId="3" hidden="1">3</definedName>
    <definedName name="UnitCost" localSheetId="3">'Ques 3 Model'!$B$3</definedName>
    <definedName name="UnitCost">#REF!</definedName>
    <definedName name="UnitCostEuros" localSheetId="3">'Ques 3 Model'!$B$6</definedName>
    <definedName name="UnitCostEuros" localSheetId="4">'Ques 3 Model'!$B$6</definedName>
    <definedName name="UnitCostEuros">#REF!</definedName>
  </definedNames>
  <calcPr calcId="171027" calcMode="manual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6" i="8" l="1"/>
  <c r="B14" i="8"/>
  <c r="B15" i="8" s="1"/>
</calcChain>
</file>

<file path=xl/sharedStrings.xml><?xml version="1.0" encoding="utf-8"?>
<sst xmlns="http://schemas.openxmlformats.org/spreadsheetml/2006/main" count="63" uniqueCount="60">
  <si>
    <t>Customer ID</t>
  </si>
  <si>
    <t>Customer Name</t>
  </si>
  <si>
    <t>Track Customer Spends For different Orders Placed</t>
  </si>
  <si>
    <t>Suzanne Viescas</t>
  </si>
  <si>
    <t>Will Thompson</t>
  </si>
  <si>
    <t>Gary Hallmark</t>
  </si>
  <si>
    <t>Michael Davolio</t>
  </si>
  <si>
    <t>Kenneth Peacock</t>
  </si>
  <si>
    <t>John Viescas</t>
  </si>
  <si>
    <t>Laura Callahan</t>
  </si>
  <si>
    <t>Neil Patterson</t>
  </si>
  <si>
    <t>Jeffrey Davolio</t>
  </si>
  <si>
    <t>Margaret Peacock</t>
  </si>
  <si>
    <t>Alaina Hallmark</t>
  </si>
  <si>
    <t>Amelia Buchanan</t>
  </si>
  <si>
    <t>Rachel Patterson</t>
  </si>
  <si>
    <t>John Leverling</t>
  </si>
  <si>
    <t>Samuel Peacock</t>
  </si>
  <si>
    <t>David Callahan</t>
  </si>
  <si>
    <t>Andrea Buchanan</t>
  </si>
  <si>
    <t>David Smith</t>
  </si>
  <si>
    <t>Zachary Ehrlich</t>
  </si>
  <si>
    <t>Joyce Bonnicksen</t>
  </si>
  <si>
    <t>Estella Pundt</t>
  </si>
  <si>
    <t>Gregory Piercy</t>
  </si>
  <si>
    <t>Julia Schnebly</t>
  </si>
  <si>
    <t>Mark Rosales</t>
  </si>
  <si>
    <t>Consuelo Maynez</t>
  </si>
  <si>
    <t>Ryan Ehrlich</t>
  </si>
  <si>
    <t>Allan Davis</t>
  </si>
  <si>
    <t>Pricing problem in a European market</t>
  </si>
  <si>
    <t>Range names used:</t>
  </si>
  <si>
    <t>Const</t>
  </si>
  <si>
    <t>=Model!$B$10</t>
  </si>
  <si>
    <t>Unit cost ($)</t>
  </si>
  <si>
    <t>Demand</t>
  </si>
  <si>
    <t>=Model!$B$14</t>
  </si>
  <si>
    <t>Exchange rate ($/Euro)</t>
  </si>
  <si>
    <t>Elast</t>
  </si>
  <si>
    <t>=Model!$C$10</t>
  </si>
  <si>
    <t>ExRate</t>
  </si>
  <si>
    <t>=Model!$B$4</t>
  </si>
  <si>
    <t>Equivalent unit cost in Euros</t>
  </si>
  <si>
    <t>Price</t>
  </si>
  <si>
    <t>=Model!$B$13</t>
  </si>
  <si>
    <t>Profit</t>
  </si>
  <si>
    <t>=Model!$B$15</t>
  </si>
  <si>
    <t>Parameters of demand function in European market</t>
  </si>
  <si>
    <t>UnitCost</t>
  </si>
  <si>
    <t>=Model!$B$3</t>
  </si>
  <si>
    <t>Constant</t>
  </si>
  <si>
    <t>Elasticity</t>
  </si>
  <si>
    <t>UnitCostEuros</t>
  </si>
  <si>
    <t>=Model!$B$6</t>
  </si>
  <si>
    <t>Pricing model (finding the right price in Euros to maximize profit in $)</t>
  </si>
  <si>
    <t>Price (Euros)</t>
  </si>
  <si>
    <t>Demand (in Europe)</t>
  </si>
  <si>
    <t>Profit ($)</t>
  </si>
  <si>
    <t>Exchange rate</t>
  </si>
  <si>
    <t>Sensitivity to the exchange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</si>
</sst>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5" formatCode="&quot;$&quot;#,##0;\-&quot;$&quot;#,##0"/>
    <numFmt numFmtId="164" formatCode="0.000"/>
  </numFmts>
  <fonts count="6" x14ac:knownFonts="1">
    <font>
      <sz val="11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/>
    <xf numFmtId="0" fontId="3" fillId="0" borderId="0"/>
  </cellStyleXfs>
  <cellXfs count="19">
    <xf numFmtId="0" fontId="0" fillId="0" borderId="0" xfId="0"/>
    <xf numFmtId="0" fontId="0" fillId="3" borderId="0" xfId="0" applyFill="1"/>
    <xf numFmtId="0" fontId="0" fillId="4" borderId="0" xfId="0" applyFill="1"/>
    <xf numFmtId="0" fontId="2" fillId="2" borderId="0" xfId="1" applyFill="1"/>
    <xf numFmtId="0" fontId="1" fillId="2" borderId="0" xfId="1" applyFont="1" applyFill="1"/>
    <xf numFmtId="0" fontId="4" fillId="0" borderId="0" xfId="2" applyFont="1" applyFill="1"/>
    <xf numFmtId="0" fontId="5" fillId="0" borderId="0" xfId="2" applyFont="1" applyFill="1"/>
    <xf numFmtId="0" fontId="3" fillId="0" borderId="0" xfId="2" applyFill="1"/>
    <xf numFmtId="0" fontId="3" fillId="0" borderId="0" xfId="2"/>
    <xf numFmtId="0" fontId="5" fillId="0" borderId="0" xfId="2" applyNumberFormat="1" applyFont="1" applyFill="1"/>
    <xf numFmtId="0" fontId="3" fillId="0" borderId="0" xfId="2" applyNumberFormat="1"/>
    <xf numFmtId="5" fontId="5" fillId="5" borderId="0" xfId="2" applyNumberFormat="1" applyFont="1" applyFill="1" applyBorder="1"/>
    <xf numFmtId="0" fontId="5" fillId="5" borderId="0" xfId="2" applyFont="1" applyFill="1" applyBorder="1"/>
    <xf numFmtId="164" fontId="5" fillId="0" borderId="0" xfId="2" applyNumberFormat="1" applyFont="1" applyFill="1"/>
    <xf numFmtId="0" fontId="3" fillId="0" borderId="0" xfId="2" applyNumberFormat="1" applyFont="1"/>
    <xf numFmtId="0" fontId="5" fillId="0" borderId="0" xfId="2" applyFont="1" applyFill="1" applyAlignment="1">
      <alignment horizontal="right"/>
    </xf>
    <xf numFmtId="2" fontId="5" fillId="6" borderId="0" xfId="2" applyNumberFormat="1" applyFont="1" applyFill="1" applyBorder="1"/>
    <xf numFmtId="2" fontId="5" fillId="0" borderId="0" xfId="2" applyNumberFormat="1" applyFont="1" applyFill="1"/>
    <xf numFmtId="5" fontId="5" fillId="7" borderId="0" xfId="2" applyNumberFormat="1" applyFont="1" applyFill="1" applyBorder="1"/>
  </cellXfs>
  <cellStyles count="3">
    <cellStyle name="Normal" xfId="0" builtinId="0"/>
    <cellStyle name="Normal 2" xfId="1" xr:uid="{319D0926-8D8D-4E8B-B8B8-250A5D9D076F}"/>
    <cellStyle name="Normal 3" xfId="2" xr:uid="{5E409399-CE1A-4AB2-84A9-210FCC0E64C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Price vs Exchange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 3 Sensitivity'!$B$3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'Ques 3 Sensitivity'!$A$4:$A$19</c:f>
              <c:numCache>
                <c:formatCode>General</c:formatCode>
                <c:ptCount val="16"/>
                <c:pt idx="0">
                  <c:v>1.1000000000000001</c:v>
                </c:pt>
                <c:pt idx="1">
                  <c:v>1.1200000000000001</c:v>
                </c:pt>
                <c:pt idx="2">
                  <c:v>1.1399999999999999</c:v>
                </c:pt>
                <c:pt idx="3">
                  <c:v>1.1599999999999999</c:v>
                </c:pt>
                <c:pt idx="4">
                  <c:v>1.18</c:v>
                </c:pt>
                <c:pt idx="5">
                  <c:v>1.2</c:v>
                </c:pt>
                <c:pt idx="6">
                  <c:v>1.22</c:v>
                </c:pt>
                <c:pt idx="7">
                  <c:v>1.24</c:v>
                </c:pt>
                <c:pt idx="8">
                  <c:v>1.26</c:v>
                </c:pt>
                <c:pt idx="9">
                  <c:v>1.28</c:v>
                </c:pt>
                <c:pt idx="10">
                  <c:v>1.3</c:v>
                </c:pt>
                <c:pt idx="11">
                  <c:v>1.32</c:v>
                </c:pt>
                <c:pt idx="12">
                  <c:v>1.34</c:v>
                </c:pt>
                <c:pt idx="13">
                  <c:v>1.36</c:v>
                </c:pt>
                <c:pt idx="14">
                  <c:v>1.38</c:v>
                </c:pt>
                <c:pt idx="15">
                  <c:v>1.4</c:v>
                </c:pt>
              </c:numCache>
            </c:numRef>
          </c:cat>
          <c:val>
            <c:numRef>
              <c:f>'Ques 3 Sensitivity'!$B$4:$B$19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77-4087-8EFB-B2C210756B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44787880"/>
        <c:axId val="544787552"/>
      </c:lineChart>
      <c:catAx>
        <c:axId val="5447878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Exchange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787552"/>
        <c:crosses val="autoZero"/>
        <c:auto val="1"/>
        <c:lblAlgn val="ctr"/>
        <c:lblOffset val="100"/>
        <c:noMultiLvlLbl val="0"/>
      </c:catAx>
      <c:valAx>
        <c:axId val="54478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Price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44787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 vs Exchange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 3 Sensitivity'!$C$3</c:f>
              <c:strCache>
                <c:ptCount val="1"/>
                <c:pt idx="0">
                  <c:v>Demand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'Ques 3 Sensitivity'!$A$4:$A$19</c:f>
              <c:numCache>
                <c:formatCode>General</c:formatCode>
                <c:ptCount val="16"/>
                <c:pt idx="0">
                  <c:v>1.1000000000000001</c:v>
                </c:pt>
                <c:pt idx="1">
                  <c:v>1.1200000000000001</c:v>
                </c:pt>
                <c:pt idx="2">
                  <c:v>1.1399999999999999</c:v>
                </c:pt>
                <c:pt idx="3">
                  <c:v>1.1599999999999999</c:v>
                </c:pt>
                <c:pt idx="4">
                  <c:v>1.18</c:v>
                </c:pt>
                <c:pt idx="5">
                  <c:v>1.2</c:v>
                </c:pt>
                <c:pt idx="6">
                  <c:v>1.22</c:v>
                </c:pt>
                <c:pt idx="7">
                  <c:v>1.24</c:v>
                </c:pt>
                <c:pt idx="8">
                  <c:v>1.26</c:v>
                </c:pt>
                <c:pt idx="9">
                  <c:v>1.28</c:v>
                </c:pt>
                <c:pt idx="10">
                  <c:v>1.3</c:v>
                </c:pt>
                <c:pt idx="11">
                  <c:v>1.32</c:v>
                </c:pt>
                <c:pt idx="12">
                  <c:v>1.34</c:v>
                </c:pt>
                <c:pt idx="13">
                  <c:v>1.36</c:v>
                </c:pt>
                <c:pt idx="14">
                  <c:v>1.38</c:v>
                </c:pt>
                <c:pt idx="15">
                  <c:v>1.4</c:v>
                </c:pt>
              </c:numCache>
            </c:numRef>
          </c:cat>
          <c:val>
            <c:numRef>
              <c:f>'Ques 3 Sensitivity'!$C$4:$C$19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BC-4512-BC25-6E14C96523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977968"/>
        <c:axId val="555981248"/>
      </c:lineChart>
      <c:catAx>
        <c:axId val="55597796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Exchange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81248"/>
        <c:crosses val="autoZero"/>
        <c:auto val="1"/>
        <c:lblAlgn val="ctr"/>
        <c:lblOffset val="100"/>
        <c:noMultiLvlLbl val="0"/>
      </c:catAx>
      <c:valAx>
        <c:axId val="555981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Demand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77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Profit vs Exchange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'Ques 3 Sensitivity'!$D$3</c:f>
              <c:strCache>
                <c:ptCount val="1"/>
                <c:pt idx="0">
                  <c:v>Profit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'Ques 3 Sensitivity'!$A$4:$A$19</c:f>
              <c:numCache>
                <c:formatCode>General</c:formatCode>
                <c:ptCount val="16"/>
                <c:pt idx="0">
                  <c:v>1.1000000000000001</c:v>
                </c:pt>
                <c:pt idx="1">
                  <c:v>1.1200000000000001</c:v>
                </c:pt>
                <c:pt idx="2">
                  <c:v>1.1399999999999999</c:v>
                </c:pt>
                <c:pt idx="3">
                  <c:v>1.1599999999999999</c:v>
                </c:pt>
                <c:pt idx="4">
                  <c:v>1.18</c:v>
                </c:pt>
                <c:pt idx="5">
                  <c:v>1.2</c:v>
                </c:pt>
                <c:pt idx="6">
                  <c:v>1.22</c:v>
                </c:pt>
                <c:pt idx="7">
                  <c:v>1.24</c:v>
                </c:pt>
                <c:pt idx="8">
                  <c:v>1.26</c:v>
                </c:pt>
                <c:pt idx="9">
                  <c:v>1.28</c:v>
                </c:pt>
                <c:pt idx="10">
                  <c:v>1.3</c:v>
                </c:pt>
                <c:pt idx="11">
                  <c:v>1.32</c:v>
                </c:pt>
                <c:pt idx="12">
                  <c:v>1.34</c:v>
                </c:pt>
                <c:pt idx="13">
                  <c:v>1.36</c:v>
                </c:pt>
                <c:pt idx="14">
                  <c:v>1.38</c:v>
                </c:pt>
                <c:pt idx="15">
                  <c:v>1.4</c:v>
                </c:pt>
              </c:numCache>
            </c:numRef>
          </c:cat>
          <c:val>
            <c:numRef>
              <c:f>'Ques 3 Sensitivity'!$D$4:$D$19</c:f>
              <c:numCache>
                <c:formatCode>General</c:formatCode>
                <c:ptCount val="16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D7-4CD0-8DDC-3B30BFDA81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5978296"/>
        <c:axId val="555980264"/>
      </c:lineChart>
      <c:catAx>
        <c:axId val="5559782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Exchange Rate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80264"/>
        <c:crosses val="autoZero"/>
        <c:auto val="1"/>
        <c:lblAlgn val="ctr"/>
        <c:lblOffset val="100"/>
        <c:noMultiLvlLbl val="0"/>
      </c:catAx>
      <c:valAx>
        <c:axId val="555980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Profit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597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3">
  <a:schemeClr val="accent6"/>
  <a:schemeClr val="accent5"/>
  <a:schemeClr val="accent4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28575</xdr:colOff>
      <xdr:row>5</xdr:row>
      <xdr:rowOff>0</xdr:rowOff>
    </xdr:from>
    <xdr:to>
      <xdr:col>15</xdr:col>
      <xdr:colOff>600075</xdr:colOff>
      <xdr:row>9</xdr:row>
      <xdr:rowOff>9525</xdr:rowOff>
    </xdr:to>
    <xdr:sp macro="[0]!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B4D813-B99D-4850-814C-77F0EF56597C}"/>
            </a:ext>
          </a:extLst>
        </xdr:cNvPr>
        <xdr:cNvSpPr/>
      </xdr:nvSpPr>
      <xdr:spPr>
        <a:xfrm>
          <a:off x="7953375" y="952500"/>
          <a:ext cx="1790700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i="1"/>
            <a:t>Find Dean Animation</a:t>
          </a:r>
        </a:p>
      </xdr:txBody>
    </xdr:sp>
    <xdr:clientData/>
  </xdr:twoCellAnchor>
  <xdr:twoCellAnchor>
    <xdr:from>
      <xdr:col>13</xdr:col>
      <xdr:colOff>38100</xdr:colOff>
      <xdr:row>9</xdr:row>
      <xdr:rowOff>180975</xdr:rowOff>
    </xdr:from>
    <xdr:to>
      <xdr:col>16</xdr:col>
      <xdr:colOff>0</xdr:colOff>
      <xdr:row>14</xdr:row>
      <xdr:rowOff>0</xdr:rowOff>
    </xdr:to>
    <xdr:sp macro="[0]!performSimul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5CCD42E3-B5DC-4B6A-AA46-EF9106A0ACEC}"/>
            </a:ext>
          </a:extLst>
        </xdr:cNvPr>
        <xdr:cNvSpPr/>
      </xdr:nvSpPr>
      <xdr:spPr>
        <a:xfrm>
          <a:off x="8591550" y="1895475"/>
          <a:ext cx="1790700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i="1"/>
            <a:t>Perform</a:t>
          </a:r>
          <a:r>
            <a:rPr lang="en-CA" sz="1400" b="1" i="1" baseline="0"/>
            <a:t> Simulations</a:t>
          </a:r>
          <a:endParaRPr lang="en-CA" sz="1400" b="1" i="1"/>
        </a:p>
      </xdr:txBody>
    </xdr:sp>
    <xdr:clientData/>
  </xdr:twoCellAnchor>
  <xdr:twoCellAnchor>
    <xdr:from>
      <xdr:col>13</xdr:col>
      <xdr:colOff>66675</xdr:colOff>
      <xdr:row>14</xdr:row>
      <xdr:rowOff>180975</xdr:rowOff>
    </xdr:from>
    <xdr:to>
      <xdr:col>16</xdr:col>
      <xdr:colOff>28575</xdr:colOff>
      <xdr:row>19</xdr:row>
      <xdr:rowOff>0</xdr:rowOff>
    </xdr:to>
    <xdr:sp macro="[0]!FindPrizeMoneyAmount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F7488F6-78EF-492B-9FAD-11FDFE12F8DD}"/>
            </a:ext>
          </a:extLst>
        </xdr:cNvPr>
        <xdr:cNvSpPr/>
      </xdr:nvSpPr>
      <xdr:spPr>
        <a:xfrm>
          <a:off x="8620125" y="2847975"/>
          <a:ext cx="1790700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i="1"/>
            <a:t>Find Prize Money</a:t>
          </a:r>
        </a:p>
      </xdr:txBody>
    </xdr:sp>
    <xdr:clientData/>
  </xdr:twoCellAnchor>
  <xdr:twoCellAnchor>
    <xdr:from>
      <xdr:col>9</xdr:col>
      <xdr:colOff>38100</xdr:colOff>
      <xdr:row>3</xdr:row>
      <xdr:rowOff>66675</xdr:rowOff>
    </xdr:from>
    <xdr:to>
      <xdr:col>11</xdr:col>
      <xdr:colOff>66675</xdr:colOff>
      <xdr:row>9</xdr:row>
      <xdr:rowOff>28575</xdr:rowOff>
    </xdr:to>
    <xdr:sp macro="" textlink="">
      <xdr:nvSpPr>
        <xdr:cNvPr id="5" name="Cylinder 4">
          <a:extLst>
            <a:ext uri="{FF2B5EF4-FFF2-40B4-BE49-F238E27FC236}">
              <a16:creationId xmlns:a16="http://schemas.microsoft.com/office/drawing/2014/main" id="{AE3A9A96-ABA0-4FBA-BA85-2E529E76A847}"/>
            </a:ext>
          </a:extLst>
        </xdr:cNvPr>
        <xdr:cNvSpPr/>
      </xdr:nvSpPr>
      <xdr:spPr>
        <a:xfrm>
          <a:off x="6286500" y="638175"/>
          <a:ext cx="1247775" cy="1104900"/>
        </a:xfrm>
        <a:prstGeom prst="can">
          <a:avLst/>
        </a:prstGeom>
        <a:noFill/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11</xdr:col>
      <xdr:colOff>76200</xdr:colOff>
      <xdr:row>4</xdr:row>
      <xdr:rowOff>133350</xdr:rowOff>
    </xdr:from>
    <xdr:to>
      <xdr:col>11</xdr:col>
      <xdr:colOff>361950</xdr:colOff>
      <xdr:row>8</xdr:row>
      <xdr:rowOff>28575</xdr:rowOff>
    </xdr:to>
    <xdr:sp macro="" textlink="">
      <xdr:nvSpPr>
        <xdr:cNvPr id="6" name="Right Bracket 5">
          <a:extLst>
            <a:ext uri="{FF2B5EF4-FFF2-40B4-BE49-F238E27FC236}">
              <a16:creationId xmlns:a16="http://schemas.microsoft.com/office/drawing/2014/main" id="{AFEDDC7F-3E7D-4B2B-BC46-AB0C4CE283E6}"/>
            </a:ext>
          </a:extLst>
        </xdr:cNvPr>
        <xdr:cNvSpPr/>
      </xdr:nvSpPr>
      <xdr:spPr>
        <a:xfrm>
          <a:off x="7543800" y="895350"/>
          <a:ext cx="285750" cy="657225"/>
        </a:xfrm>
        <a:prstGeom prst="rightBracket">
          <a:avLst/>
        </a:prstGeom>
        <a:noFill/>
        <a:ln w="28575"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266701</xdr:colOff>
      <xdr:row>2</xdr:row>
      <xdr:rowOff>186658</xdr:rowOff>
    </xdr:from>
    <xdr:ext cx="5162550" cy="2905028"/>
    <xdr:pic>
      <xdr:nvPicPr>
        <xdr:cNvPr id="2" name="Picture 1">
          <a:extLst>
            <a:ext uri="{FF2B5EF4-FFF2-40B4-BE49-F238E27FC236}">
              <a16:creationId xmlns:a16="http://schemas.microsoft.com/office/drawing/2014/main" id="{36FFEE50-B274-46A5-9F83-75CA1E50EA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1" y="481933"/>
          <a:ext cx="5162550" cy="2905028"/>
        </a:xfrm>
        <a:prstGeom prst="rect">
          <a:avLst/>
        </a:prstGeom>
      </xdr:spPr>
    </xdr:pic>
    <xdr:clientData/>
  </xdr:oneCellAnchor>
  <xdr:twoCellAnchor>
    <xdr:from>
      <xdr:col>15</xdr:col>
      <xdr:colOff>123825</xdr:colOff>
      <xdr:row>8</xdr:row>
      <xdr:rowOff>66675</xdr:rowOff>
    </xdr:from>
    <xdr:to>
      <xdr:col>17</xdr:col>
      <xdr:colOff>466725</xdr:colOff>
      <xdr:row>13</xdr:row>
      <xdr:rowOff>28575</xdr:rowOff>
    </xdr:to>
    <xdr:sp macro="[0]!SalesOrderMain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392B0FD-5FC3-4140-83EE-3ECB7D958CE7}"/>
            </a:ext>
          </a:extLst>
        </xdr:cNvPr>
        <xdr:cNvSpPr/>
      </xdr:nvSpPr>
      <xdr:spPr>
        <a:xfrm>
          <a:off x="9267825" y="1362075"/>
          <a:ext cx="1562100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200" b="1" i="1"/>
            <a:t>Track Customer Spend for each Order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</xdr:colOff>
      <xdr:row>11</xdr:row>
      <xdr:rowOff>95250</xdr:rowOff>
    </xdr:from>
    <xdr:to>
      <xdr:col>9</xdr:col>
      <xdr:colOff>0</xdr:colOff>
      <xdr:row>16</xdr:row>
      <xdr:rowOff>47625</xdr:rowOff>
    </xdr:to>
    <xdr:sp macro="[1]!SolverMai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2F131D9-D20B-4564-AA91-512E4F422626}"/>
            </a:ext>
          </a:extLst>
        </xdr:cNvPr>
        <xdr:cNvSpPr/>
      </xdr:nvSpPr>
      <xdr:spPr>
        <a:xfrm>
          <a:off x="5286375" y="2190750"/>
          <a:ext cx="1809750" cy="8763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400" b="1" i="1"/>
            <a:t>Solve</a:t>
          </a:r>
          <a:r>
            <a:rPr lang="en-CA" sz="1400" b="1" i="1" baseline="0"/>
            <a:t> for Euro Pricing</a:t>
          </a:r>
          <a:endParaRPr lang="en-CA" sz="1100" b="1" i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10</xdr:col>
      <xdr:colOff>466725</xdr:colOff>
      <xdr:row>10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BFD113D-2943-47AC-96C6-A8C25CC1741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0</xdr:row>
      <xdr:rowOff>0</xdr:rowOff>
    </xdr:from>
    <xdr:to>
      <xdr:col>16</xdr:col>
      <xdr:colOff>485775</xdr:colOff>
      <xdr:row>10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6A4A11F-84B3-4A86-99B5-AE140AFAA8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9526</xdr:colOff>
      <xdr:row>10</xdr:row>
      <xdr:rowOff>171450</xdr:rowOff>
    </xdr:from>
    <xdr:to>
      <xdr:col>10</xdr:col>
      <xdr:colOff>466726</xdr:colOff>
      <xdr:row>21</xdr:row>
      <xdr:rowOff>47625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A7787C43-BA13-40E6-917C-6FF956C3B9C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Library" Target="SOLVER/SOLVER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lverCode"/>
      <sheetName val="VBA_Functions"/>
      <sheetName val="Language"/>
      <sheetName val="Report"/>
      <sheetName val="1028"/>
      <sheetName val="1029"/>
      <sheetName val="1030"/>
      <sheetName val="1031"/>
      <sheetName val="1032"/>
      <sheetName val="1033"/>
      <sheetName val="1035"/>
      <sheetName val="1036"/>
      <sheetName val="1038"/>
      <sheetName val="1040"/>
      <sheetName val="1041"/>
      <sheetName val="1042"/>
      <sheetName val="1043"/>
      <sheetName val="1044"/>
      <sheetName val="1045"/>
      <sheetName val="1046"/>
      <sheetName val="1048"/>
      <sheetName val="1049"/>
      <sheetName val="1050"/>
      <sheetName val="1051"/>
      <sheetName val="1053"/>
      <sheetName val="1055"/>
      <sheetName val="1058"/>
      <sheetName val="1060"/>
      <sheetName val="2052"/>
      <sheetName val="2070"/>
      <sheetName val="3082"/>
      <sheetName val="Solver_dialog"/>
      <sheetName val="Add_dialog"/>
      <sheetName val="Save_dialog"/>
    </sheetNames>
    <definedNames>
      <definedName name="SolverMain"/>
    </definedNames>
    <sheetDataSet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B0C6A-F658-4D71-853B-06152898E54C}">
  <sheetPr codeName="Sheet1"/>
  <dimension ref="A1"/>
  <sheetViews>
    <sheetView tabSelected="1" workbookViewId="0">
      <selection activeCell="F10" sqref="F10"/>
    </sheetView>
  </sheetViews>
  <sheetFormatPr defaultRowHeight="15" x14ac:dyDescent="0.25"/>
  <cols>
    <col min="1" max="1" width="20.5703125" style="1" customWidth="1"/>
    <col min="2" max="16384" width="9.140625" style="1"/>
  </cols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A06DC6-D58E-4C44-BA9D-18970241C19D}">
  <sheetPr codeName="Sheet2"/>
  <dimension ref="G1:K1"/>
  <sheetViews>
    <sheetView workbookViewId="0">
      <selection activeCell="P7" sqref="P7"/>
    </sheetView>
  </sheetViews>
  <sheetFormatPr defaultRowHeight="15" x14ac:dyDescent="0.25"/>
  <cols>
    <col min="1" max="16384" width="9.140625" style="3"/>
  </cols>
  <sheetData>
    <row r="1" spans="7:11" ht="15.75" x14ac:dyDescent="0.25">
      <c r="G1" s="4" t="s">
        <v>2</v>
      </c>
      <c r="H1" s="4"/>
      <c r="I1" s="4"/>
      <c r="J1" s="4"/>
      <c r="K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0276A-4D7C-4DD5-AAD1-21CCE89AD33B}">
  <sheetPr codeName="Sheet3"/>
  <dimension ref="A1"/>
  <sheetViews>
    <sheetView workbookViewId="0"/>
  </sheetViews>
  <sheetFormatPr defaultRowHeight="15" x14ac:dyDescent="0.25"/>
  <cols>
    <col min="1" max="1" width="17.42578125" style="2" customWidth="1"/>
    <col min="2" max="2" width="15.28515625" style="2" customWidth="1"/>
    <col min="3" max="3" width="18.7109375" style="2" customWidth="1"/>
    <col min="4" max="4" width="14.7109375" style="2" customWidth="1"/>
    <col min="5" max="5" width="16.7109375" style="2" customWidth="1"/>
    <col min="6" max="16384" width="9.140625" style="2"/>
  </cols>
  <sheetData/>
  <sortState ref="A3:C33">
    <sortCondition ref="A3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57423D-389E-4E4A-8727-7F1CA8E63339}">
  <sheetPr codeName="Sheet5"/>
  <dimension ref="A1:G15"/>
  <sheetViews>
    <sheetView workbookViewId="0">
      <selection activeCell="N12" sqref="N12"/>
    </sheetView>
  </sheetViews>
  <sheetFormatPr defaultRowHeight="12.75" x14ac:dyDescent="0.2"/>
  <cols>
    <col min="1" max="1" width="23.140625" style="7" customWidth="1"/>
    <col min="2" max="2" width="9.5703125" style="7" bestFit="1" customWidth="1"/>
    <col min="3" max="3" width="9.28515625" style="7" bestFit="1" customWidth="1"/>
    <col min="4" max="4" width="9.5703125" style="7" bestFit="1" customWidth="1"/>
    <col min="5" max="5" width="9.140625" style="7"/>
    <col min="6" max="6" width="18.28515625" style="7" bestFit="1" customWidth="1"/>
    <col min="7" max="16384" width="9.140625" style="7"/>
  </cols>
  <sheetData>
    <row r="1" spans="1:7" ht="15" x14ac:dyDescent="0.25">
      <c r="A1" s="5" t="s">
        <v>30</v>
      </c>
      <c r="B1" s="6"/>
      <c r="C1" s="6"/>
      <c r="F1" s="5" t="s">
        <v>31</v>
      </c>
      <c r="G1" s="8"/>
    </row>
    <row r="2" spans="1:7" ht="15" x14ac:dyDescent="0.25">
      <c r="A2" s="6"/>
      <c r="B2" s="6"/>
      <c r="C2" s="6"/>
      <c r="F2" s="9" t="s">
        <v>32</v>
      </c>
      <c r="G2" s="10" t="s">
        <v>33</v>
      </c>
    </row>
    <row r="3" spans="1:7" ht="15" x14ac:dyDescent="0.25">
      <c r="A3" s="6" t="s">
        <v>34</v>
      </c>
      <c r="B3" s="11">
        <v>50</v>
      </c>
      <c r="C3" s="6"/>
      <c r="F3" s="9" t="s">
        <v>35</v>
      </c>
      <c r="G3" s="10" t="s">
        <v>36</v>
      </c>
    </row>
    <row r="4" spans="1:7" ht="15" x14ac:dyDescent="0.25">
      <c r="A4" s="6" t="s">
        <v>37</v>
      </c>
      <c r="B4" s="12">
        <v>1.4</v>
      </c>
      <c r="C4" s="6"/>
      <c r="F4" s="9" t="s">
        <v>38</v>
      </c>
      <c r="G4" s="10" t="s">
        <v>39</v>
      </c>
    </row>
    <row r="5" spans="1:7" ht="15" x14ac:dyDescent="0.25">
      <c r="A5" s="6"/>
      <c r="B5" s="6"/>
      <c r="C5" s="6"/>
      <c r="F5" s="9" t="s">
        <v>40</v>
      </c>
      <c r="G5" s="10" t="s">
        <v>41</v>
      </c>
    </row>
    <row r="6" spans="1:7" ht="15" x14ac:dyDescent="0.25">
      <c r="A6" s="6" t="s">
        <v>42</v>
      </c>
      <c r="B6" s="13">
        <f>UnitCost/ExRate</f>
        <v>35.714285714285715</v>
      </c>
      <c r="C6" s="6"/>
      <c r="F6" s="9" t="s">
        <v>43</v>
      </c>
      <c r="G6" s="14" t="s">
        <v>44</v>
      </c>
    </row>
    <row r="7" spans="1:7" ht="15" x14ac:dyDescent="0.25">
      <c r="A7" s="6"/>
      <c r="B7" s="6"/>
      <c r="C7" s="6"/>
      <c r="F7" s="9" t="s">
        <v>45</v>
      </c>
      <c r="G7" s="14" t="s">
        <v>46</v>
      </c>
    </row>
    <row r="8" spans="1:7" ht="15" x14ac:dyDescent="0.25">
      <c r="A8" s="6" t="s">
        <v>47</v>
      </c>
      <c r="B8" s="6"/>
      <c r="C8" s="6"/>
      <c r="F8" s="9" t="s">
        <v>48</v>
      </c>
      <c r="G8" s="14" t="s">
        <v>49</v>
      </c>
    </row>
    <row r="9" spans="1:7" ht="15" x14ac:dyDescent="0.25">
      <c r="A9" s="6"/>
      <c r="B9" s="15" t="s">
        <v>50</v>
      </c>
      <c r="C9" s="15" t="s">
        <v>51</v>
      </c>
      <c r="F9" s="9" t="s">
        <v>52</v>
      </c>
      <c r="G9" s="14" t="s">
        <v>53</v>
      </c>
    </row>
    <row r="10" spans="1:7" ht="15" x14ac:dyDescent="0.25">
      <c r="A10" s="6"/>
      <c r="B10" s="12">
        <v>27556759.606310714</v>
      </c>
      <c r="C10" s="12">
        <v>-2.4</v>
      </c>
    </row>
    <row r="11" spans="1:7" ht="15" x14ac:dyDescent="0.25">
      <c r="A11" s="6"/>
      <c r="B11" s="6"/>
      <c r="C11" s="6"/>
    </row>
    <row r="12" spans="1:7" ht="15" x14ac:dyDescent="0.25">
      <c r="A12" s="5" t="s">
        <v>54</v>
      </c>
      <c r="B12" s="6"/>
      <c r="C12" s="6"/>
    </row>
    <row r="13" spans="1:7" ht="15" x14ac:dyDescent="0.25">
      <c r="A13" s="6" t="s">
        <v>55</v>
      </c>
      <c r="B13" s="16">
        <v>61.224489731173755</v>
      </c>
      <c r="C13" s="6"/>
    </row>
    <row r="14" spans="1:7" ht="15" x14ac:dyDescent="0.25">
      <c r="A14" s="6" t="s">
        <v>56</v>
      </c>
      <c r="B14" s="17">
        <f>Const*Price^Elast</f>
        <v>1417.7763561855716</v>
      </c>
      <c r="C14" s="6"/>
    </row>
    <row r="15" spans="1:7" ht="15" x14ac:dyDescent="0.25">
      <c r="A15" s="6" t="s">
        <v>57</v>
      </c>
      <c r="B15" s="18">
        <f>(Price*ExRate-UnitCost)*Demand</f>
        <v>50634.869735259672</v>
      </c>
      <c r="C15" s="6"/>
    </row>
  </sheetData>
  <pageMargins left="0.75" right="0.75" top="1" bottom="1" header="0.5" footer="0.5"/>
  <headerFooter alignWithMargins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3ACC72-5401-45DD-8239-4F577CB9EF2A}">
  <sheetPr codeName="Sheet6"/>
  <dimension ref="A1:D19"/>
  <sheetViews>
    <sheetView workbookViewId="0">
      <selection activeCell="A3" sqref="A3"/>
    </sheetView>
  </sheetViews>
  <sheetFormatPr defaultRowHeight="15" x14ac:dyDescent="0.25"/>
  <cols>
    <col min="1" max="1" width="16.140625" customWidth="1"/>
  </cols>
  <sheetData>
    <row r="1" spans="1:4" x14ac:dyDescent="0.25">
      <c r="A1" t="s">
        <v>59</v>
      </c>
    </row>
    <row r="3" spans="1:4" x14ac:dyDescent="0.25">
      <c r="A3" t="s">
        <v>58</v>
      </c>
      <c r="B3" t="s">
        <v>43</v>
      </c>
      <c r="C3" t="s">
        <v>35</v>
      </c>
      <c r="D3" t="s">
        <v>45</v>
      </c>
    </row>
    <row r="4" spans="1:4" x14ac:dyDescent="0.25">
      <c r="A4">
        <v>1.1000000000000001</v>
      </c>
    </row>
    <row r="5" spans="1:4" x14ac:dyDescent="0.25">
      <c r="A5">
        <v>1.1200000000000001</v>
      </c>
    </row>
    <row r="6" spans="1:4" x14ac:dyDescent="0.25">
      <c r="A6">
        <v>1.1399999999999999</v>
      </c>
    </row>
    <row r="7" spans="1:4" x14ac:dyDescent="0.25">
      <c r="A7">
        <v>1.1599999999999999</v>
      </c>
    </row>
    <row r="8" spans="1:4" x14ac:dyDescent="0.25">
      <c r="A8">
        <v>1.18</v>
      </c>
    </row>
    <row r="9" spans="1:4" x14ac:dyDescent="0.25">
      <c r="A9">
        <v>1.2</v>
      </c>
    </row>
    <row r="10" spans="1:4" x14ac:dyDescent="0.25">
      <c r="A10">
        <v>1.22</v>
      </c>
    </row>
    <row r="11" spans="1:4" x14ac:dyDescent="0.25">
      <c r="A11">
        <v>1.24</v>
      </c>
    </row>
    <row r="12" spans="1:4" x14ac:dyDescent="0.25">
      <c r="A12">
        <v>1.26</v>
      </c>
    </row>
    <row r="13" spans="1:4" x14ac:dyDescent="0.25">
      <c r="A13">
        <v>1.28</v>
      </c>
    </row>
    <row r="14" spans="1:4" x14ac:dyDescent="0.25">
      <c r="A14">
        <v>1.3</v>
      </c>
    </row>
    <row r="15" spans="1:4" x14ac:dyDescent="0.25">
      <c r="A15">
        <v>1.32</v>
      </c>
    </row>
    <row r="16" spans="1:4" x14ac:dyDescent="0.25">
      <c r="A16">
        <v>1.34</v>
      </c>
    </row>
    <row r="17" spans="1:1" x14ac:dyDescent="0.25">
      <c r="A17">
        <v>1.36</v>
      </c>
    </row>
    <row r="18" spans="1:1" x14ac:dyDescent="0.25">
      <c r="A18">
        <v>1.38</v>
      </c>
    </row>
    <row r="19" spans="1:1" x14ac:dyDescent="0.25">
      <c r="A19">
        <v>1.4</v>
      </c>
    </row>
  </sheetData>
  <pageMargins left="0.75" right="0.75" top="1" bottom="1" header="0.5" footer="0.5"/>
  <headerFooter alignWithMargins="0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45F046-EE98-44FF-B110-5A08EFB959B0}">
  <sheetPr codeName="Sheet4"/>
  <dimension ref="A1:B28"/>
  <sheetViews>
    <sheetView workbookViewId="0">
      <selection activeCell="A2" sqref="A2:B2"/>
    </sheetView>
  </sheetViews>
  <sheetFormatPr defaultRowHeight="15" x14ac:dyDescent="0.25"/>
  <cols>
    <col min="1" max="1" width="13.140625" customWidth="1"/>
    <col min="2" max="2" width="15.42578125" customWidth="1"/>
  </cols>
  <sheetData>
    <row r="1" spans="1:2" x14ac:dyDescent="0.25">
      <c r="A1" t="s">
        <v>0</v>
      </c>
      <c r="B1" t="s">
        <v>1</v>
      </c>
    </row>
    <row r="2" spans="1:2" x14ac:dyDescent="0.25">
      <c r="A2">
        <v>1</v>
      </c>
      <c r="B2" t="s">
        <v>3</v>
      </c>
    </row>
    <row r="3" spans="1:2" x14ac:dyDescent="0.25">
      <c r="A3">
        <v>2</v>
      </c>
      <c r="B3" t="s">
        <v>4</v>
      </c>
    </row>
    <row r="4" spans="1:2" x14ac:dyDescent="0.25">
      <c r="A4">
        <v>3</v>
      </c>
      <c r="B4" t="s">
        <v>5</v>
      </c>
    </row>
    <row r="5" spans="1:2" x14ac:dyDescent="0.25">
      <c r="A5">
        <v>4</v>
      </c>
      <c r="B5" t="s">
        <v>6</v>
      </c>
    </row>
    <row r="6" spans="1:2" x14ac:dyDescent="0.25">
      <c r="A6">
        <v>5</v>
      </c>
      <c r="B6" t="s">
        <v>7</v>
      </c>
    </row>
    <row r="7" spans="1:2" x14ac:dyDescent="0.25">
      <c r="A7">
        <v>6</v>
      </c>
      <c r="B7" t="s">
        <v>8</v>
      </c>
    </row>
    <row r="8" spans="1:2" x14ac:dyDescent="0.25">
      <c r="A8">
        <v>7</v>
      </c>
      <c r="B8" t="s">
        <v>9</v>
      </c>
    </row>
    <row r="9" spans="1:2" x14ac:dyDescent="0.25">
      <c r="A9">
        <v>8</v>
      </c>
      <c r="B9" t="s">
        <v>10</v>
      </c>
    </row>
    <row r="10" spans="1:2" x14ac:dyDescent="0.25">
      <c r="A10">
        <v>9</v>
      </c>
      <c r="B10" t="s">
        <v>11</v>
      </c>
    </row>
    <row r="11" spans="1:2" x14ac:dyDescent="0.25">
      <c r="A11">
        <v>10</v>
      </c>
      <c r="B11" t="s">
        <v>12</v>
      </c>
    </row>
    <row r="12" spans="1:2" x14ac:dyDescent="0.25">
      <c r="A12">
        <v>11</v>
      </c>
      <c r="B12" t="s">
        <v>13</v>
      </c>
    </row>
    <row r="13" spans="1:2" x14ac:dyDescent="0.25">
      <c r="A13">
        <v>12</v>
      </c>
      <c r="B13" t="s">
        <v>14</v>
      </c>
    </row>
    <row r="14" spans="1:2" x14ac:dyDescent="0.25">
      <c r="A14">
        <v>13</v>
      </c>
      <c r="B14" t="s">
        <v>15</v>
      </c>
    </row>
    <row r="15" spans="1:2" x14ac:dyDescent="0.25">
      <c r="A15">
        <v>14</v>
      </c>
      <c r="B15" t="s">
        <v>16</v>
      </c>
    </row>
    <row r="16" spans="1:2" x14ac:dyDescent="0.25">
      <c r="A16">
        <v>15</v>
      </c>
      <c r="B16" t="s">
        <v>17</v>
      </c>
    </row>
    <row r="17" spans="1:2" x14ac:dyDescent="0.25">
      <c r="A17">
        <v>16</v>
      </c>
      <c r="B17" t="s">
        <v>18</v>
      </c>
    </row>
    <row r="18" spans="1:2" x14ac:dyDescent="0.25">
      <c r="A18">
        <v>17</v>
      </c>
      <c r="B18" t="s">
        <v>19</v>
      </c>
    </row>
    <row r="19" spans="1:2" x14ac:dyDescent="0.25">
      <c r="A19">
        <v>18</v>
      </c>
      <c r="B19" t="s">
        <v>20</v>
      </c>
    </row>
    <row r="20" spans="1:2" x14ac:dyDescent="0.25">
      <c r="A20">
        <v>19</v>
      </c>
      <c r="B20" t="s">
        <v>21</v>
      </c>
    </row>
    <row r="21" spans="1:2" x14ac:dyDescent="0.25">
      <c r="A21">
        <v>20</v>
      </c>
      <c r="B21" t="s">
        <v>22</v>
      </c>
    </row>
    <row r="22" spans="1:2" x14ac:dyDescent="0.25">
      <c r="A22">
        <v>21</v>
      </c>
      <c r="B22" t="s">
        <v>23</v>
      </c>
    </row>
    <row r="23" spans="1:2" x14ac:dyDescent="0.25">
      <c r="A23">
        <v>22</v>
      </c>
      <c r="B23" t="s">
        <v>24</v>
      </c>
    </row>
    <row r="24" spans="1:2" x14ac:dyDescent="0.25">
      <c r="A24">
        <v>23</v>
      </c>
      <c r="B24" t="s">
        <v>25</v>
      </c>
    </row>
    <row r="25" spans="1:2" x14ac:dyDescent="0.25">
      <c r="A25">
        <v>24</v>
      </c>
      <c r="B25" t="s">
        <v>26</v>
      </c>
    </row>
    <row r="26" spans="1:2" x14ac:dyDescent="0.25">
      <c r="A26">
        <v>25</v>
      </c>
      <c r="B26" t="s">
        <v>27</v>
      </c>
    </row>
    <row r="27" spans="1:2" x14ac:dyDescent="0.25">
      <c r="A27">
        <v>26</v>
      </c>
      <c r="B27" t="s">
        <v>28</v>
      </c>
    </row>
    <row r="28" spans="1:2" x14ac:dyDescent="0.25">
      <c r="A28">
        <v>27</v>
      </c>
      <c r="B28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11</vt:i4>
      </vt:variant>
    </vt:vector>
  </HeadingPairs>
  <TitlesOfParts>
    <vt:vector size="17" baseType="lpstr">
      <vt:lpstr>Ques1 Coffee</vt:lpstr>
      <vt:lpstr>Ques 2 SalesOrders</vt:lpstr>
      <vt:lpstr>Ques 2 CustomerOrders</vt:lpstr>
      <vt:lpstr>Ques 3 Model</vt:lpstr>
      <vt:lpstr>Ques 3 Sensitivity</vt:lpstr>
      <vt:lpstr>Temp</vt:lpstr>
      <vt:lpstr>'Ques 3 Model'!Const</vt:lpstr>
      <vt:lpstr>Cups</vt:lpstr>
      <vt:lpstr>CustList</vt:lpstr>
      <vt:lpstr>'Ques 3 Model'!Demand</vt:lpstr>
      <vt:lpstr>'Ques 3 Model'!Elast</vt:lpstr>
      <vt:lpstr>'Ques 3 Model'!ExRate</vt:lpstr>
      <vt:lpstr>'Ques 3 Model'!Price</vt:lpstr>
      <vt:lpstr>'Ques 3 Model'!Profit</vt:lpstr>
      <vt:lpstr>'Ques 3 Model'!UnitCost</vt:lpstr>
      <vt:lpstr>'Ques 3 Model'!UnitCostEuros</vt:lpstr>
      <vt:lpstr>'Ques 3 Sensitivity'!UnitCostEuros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kunal kohli</dc:creator>
  <cp:lastModifiedBy>kunal kohli</cp:lastModifiedBy>
  <dcterms:created xsi:type="dcterms:W3CDTF">2017-11-26T01:52:25Z</dcterms:created>
  <dcterms:modified xsi:type="dcterms:W3CDTF">2017-11-29T22:18:34Z</dcterms:modified>
</cp:coreProperties>
</file>